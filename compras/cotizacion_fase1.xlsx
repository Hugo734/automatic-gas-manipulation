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go Castillo\Documents\automatic-gas-manipulation\compras\"/>
    </mc:Choice>
  </mc:AlternateContent>
  <xr:revisionPtr revIDLastSave="0" documentId="13_ncr:1_{8107D4F0-38C2-49B4-A3E1-59D0762BE476}" xr6:coauthVersionLast="47" xr6:coauthVersionMax="47" xr10:uidLastSave="{00000000-0000-0000-0000-000000000000}"/>
  <bookViews>
    <workbookView xWindow="4200" yWindow="4185" windowWidth="21600" windowHeight="11295" activeTab="2" xr2:uid="{00000000-000D-0000-FFFF-FFFF00000000}"/>
  </bookViews>
  <sheets>
    <sheet name="Instrucciones" sheetId="1" r:id="rId1"/>
    <sheet name="Supuestos" sheetId="2" r:id="rId2"/>
    <sheet name="Fase 1" sheetId="3" r:id="rId3"/>
    <sheet name="Referencia PLC" sheetId="4" r:id="rId4"/>
  </sheets>
  <definedNames>
    <definedName name="_xlnm._FilterDatabase" localSheetId="2" hidden="1">'Fase 1'!$A$3:$S$28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P33" i="3"/>
  <c r="N33" i="3"/>
  <c r="K33" i="3"/>
  <c r="L28" i="3"/>
  <c r="M28" i="3" s="1"/>
  <c r="K28" i="3"/>
  <c r="L27" i="3"/>
  <c r="M27" i="3" s="1"/>
  <c r="K27" i="3"/>
  <c r="L25" i="3"/>
  <c r="M25" i="3" s="1"/>
  <c r="K25" i="3"/>
  <c r="L24" i="3"/>
  <c r="M24" i="3" s="1"/>
  <c r="K24" i="3"/>
  <c r="L23" i="3"/>
  <c r="M23" i="3" s="1"/>
  <c r="K23" i="3"/>
  <c r="L22" i="3"/>
  <c r="M22" i="3" s="1"/>
  <c r="K22" i="3"/>
  <c r="K21" i="3"/>
  <c r="L20" i="3"/>
  <c r="M20" i="3" s="1"/>
  <c r="K20" i="3"/>
  <c r="L18" i="3"/>
  <c r="M18" i="3" s="1"/>
  <c r="K18" i="3"/>
  <c r="L17" i="3"/>
  <c r="M17" i="3" s="1"/>
  <c r="K17" i="3"/>
  <c r="L16" i="3"/>
  <c r="M16" i="3" s="1"/>
  <c r="K16" i="3"/>
  <c r="L14" i="3"/>
  <c r="M14" i="3" s="1"/>
  <c r="K14" i="3"/>
  <c r="L13" i="3"/>
  <c r="M13" i="3" s="1"/>
  <c r="K13" i="3"/>
  <c r="K11" i="3"/>
  <c r="L10" i="3"/>
  <c r="M10" i="3" s="1"/>
  <c r="K10" i="3"/>
  <c r="K9" i="3"/>
  <c r="L7" i="3"/>
  <c r="M7" i="3" s="1"/>
  <c r="K7" i="3"/>
  <c r="L6" i="3"/>
  <c r="M6" i="3" s="1"/>
  <c r="K6" i="3"/>
  <c r="L5" i="3"/>
  <c r="M5" i="3" s="1"/>
  <c r="K5" i="3"/>
  <c r="E7" i="4" l="1"/>
  <c r="E6" i="4"/>
  <c r="E5" i="4"/>
  <c r="E4" i="4"/>
  <c r="L21" i="3"/>
  <c r="M21" i="3" s="1"/>
  <c r="L11" i="3"/>
  <c r="M11" i="3" s="1"/>
  <c r="L9" i="3"/>
  <c r="M9" i="3" s="1"/>
  <c r="M3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H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L-com. Puede haber cambiado.</t>
        </r>
      </text>
    </comment>
    <comment ref="H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Omega. Puede haber cambiado.</t>
        </r>
      </text>
    </comment>
    <comment ref="H1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Standard Electric Supply. Puede haber cambiado.</t>
        </r>
      </text>
    </comment>
    <comment ref="H1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Standard Electric Supply. Puede haber cambiado.</t>
        </r>
      </text>
    </comment>
    <comment ref="H1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Kele. Puede haber cambiado.</t>
        </r>
      </text>
    </comment>
    <comment ref="H1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Jackson Systems. Puede haber cambiado.</t>
        </r>
      </text>
    </comment>
    <comment ref="H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Kele. Puede haber cambiado.</t>
        </r>
      </text>
    </comment>
    <comment ref="H2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Markertek. Puede haber cambiado.</t>
        </r>
      </text>
    </comment>
    <comment ref="H2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Precio de referencia encontrado en internet (oct. 2026) en AutomationDirect. Puede haber cambiado.</t>
        </r>
      </text>
    </comment>
  </commentList>
</comments>
</file>

<file path=xl/sharedStrings.xml><?xml version="1.0" encoding="utf-8"?>
<sst xmlns="http://schemas.openxmlformats.org/spreadsheetml/2006/main" count="238" uniqueCount="186">
  <si>
    <t>Fase 1 – Medición de gas (máquina 1) y quemador piloto con control</t>
  </si>
  <si>
    <t>#</t>
  </si>
  <si>
    <t>Categoría</t>
  </si>
  <si>
    <t>Equipo</t>
  </si>
  <si>
    <t>Especificación para cotizar</t>
  </si>
  <si>
    <t>Cant.</t>
  </si>
  <si>
    <t>Unidad</t>
  </si>
  <si>
    <t>Modelo de referencia</t>
  </si>
  <si>
    <t>Precio ref. EE. UU. (USD c/u)</t>
  </si>
  <si>
    <t>Fuente del precio</t>
  </si>
  <si>
    <t>Amazon EE. UU.</t>
  </si>
  <si>
    <t>Subtotal EE. UU. (USD)</t>
  </si>
  <si>
    <t>Estimado puesto en GT (Q c/u)</t>
  </si>
  <si>
    <t>Subtotal estimado GT (Q)</t>
  </si>
  <si>
    <t>Cotización GT 1 (Q c/u)</t>
  </si>
  <si>
    <t>Proveedor 1</t>
  </si>
  <si>
    <t>Cotización GT 2 (Q c/u)</t>
  </si>
  <si>
    <t>Proveedor 2</t>
  </si>
  <si>
    <t>Tiempo de entrega</t>
  </si>
  <si>
    <t>Notas</t>
  </si>
  <si>
    <t>Medición de gas LP</t>
  </si>
  <si>
    <t>Gas</t>
  </si>
  <si>
    <t>Medidor de gas LP por máquina</t>
  </si>
  <si>
    <t>Medidor para GLP en fase VAPOR, línea de 1/2", presión de trabajo 20 psi (máx. ≥ 25 psi), salida de pulsos o Modbus RS-485, calibrado para mezcla propano/butano. Indicar caudal máximo de la máquina (BTU/h o gal/h).</t>
  </si>
  <si>
    <t>pza</t>
  </si>
  <si>
    <t>Siargo serie MF-GD (GLP) / medidor rotativo</t>
  </si>
  <si>
    <t>Siargo MF-GD (catálogo, sin precio)</t>
  </si>
  <si>
    <t>Buscar en Amazon</t>
  </si>
  <si>
    <t>Muchos medidores de diafragma (ej. AC-250) son solo hasta 5–10 psi: no sirven a 20 psi. Dimensionar con el consumo real.</t>
  </si>
  <si>
    <t>Transmisor de presión de gas</t>
  </si>
  <si>
    <t>0–30 psi manométrico, salida 4–20 mA a 2 hilos, partes en contacto acero inox. 316L, apto para GLP, conexión 1/4" o 1/2" NPT.</t>
  </si>
  <si>
    <t>L-com PT989-30PV1E22B1C10G</t>
  </si>
  <si>
    <t>L-com</t>
  </si>
  <si>
    <t>Opción de mayor precisión: Omega PX359-030GI (~USD 409). Confirmar compatibilidad de sellos con GLP.</t>
  </si>
  <si>
    <t>Nivel del tanque estacionario (para pedidos)</t>
  </si>
  <si>
    <t>Lectura de nivel del tanque de GLP con salida 4–20 mA o telemetría.</t>
  </si>
  <si>
    <t>servicio</t>
  </si>
  <si>
    <t>Rochester R3D + transmisor / telemetría del proveedor</t>
  </si>
  <si>
    <t>Rochester R3D (salida en voltaje)</t>
  </si>
  <si>
    <t>Preguntar primero al proveedor de gas LP: muchos instalan telemetría sin costo para programar entregas.</t>
  </si>
  <si>
    <t>Temperatura</t>
  </si>
  <si>
    <t>Sensor PT100 con cabezal</t>
  </si>
  <si>
    <t>RTD PT100 clase A o B, 3 hilos, vaina inox. 316, rosca 1/2" NPT, cabezal industrial. Indicar longitud de inserción y rango (0–150 °C).</t>
  </si>
  <si>
    <t>Omega PR-14 (PT100, 1/2" NPT)</t>
  </si>
  <si>
    <t>Omega</t>
  </si>
  <si>
    <t>6 = 4 zonas de quemadores + tina de látex + tina de coagulante. Ya tienes 1 transmisor 0–150 °C.</t>
  </si>
  <si>
    <t>Termopozo</t>
  </si>
  <si>
    <t>Termopozo inox. 316 para el sensor anterior, 1/2" NPT, longitud según tina/zona.</t>
  </si>
  <si>
    <t>Según fabricante del sensor</t>
  </si>
  <si>
    <t>Cotizar con el sensor</t>
  </si>
  <si>
    <t>Permite sacar el sensor sin vaciar la tina.</t>
  </si>
  <si>
    <t>Módulo de entradas PT100 (directo)</t>
  </si>
  <si>
    <t>Módulo de expansión para PLC con 4 entradas RTD PT100 directas (sin transmisor).</t>
  </si>
  <si>
    <t>Schneider TM3TI4</t>
  </si>
  <si>
    <t>Standard Electric Supply</t>
  </si>
  <si>
    <t>Con este módulo no se compran transmisores PT100 → 4–20 mA. Si se cambia a Siemens: SM 1231 RTD.</t>
  </si>
  <si>
    <t>PLC y señales</t>
  </si>
  <si>
    <t>PLC</t>
  </si>
  <si>
    <t>Módulo de entradas 4–20 mA</t>
  </si>
  <si>
    <t>Módulo de expansión con 4 entradas analógicas 4–20 mA, 12 bits.</t>
  </si>
  <si>
    <t>Schneider TM3AI4</t>
  </si>
  <si>
    <t>Para feedback de válvula, presión de gas y futuros sensores, sin resistencias. Otra ref.: Powermatic USD 219.</t>
  </si>
  <si>
    <t>Resistencias de precisión 499 Ω</t>
  </si>
  <si>
    <t>Resistencia 499 Ω, tolerancia 0.1 % (o 1 %), ½ W, para leer 4–20 mA en entradas 0–10 V.</t>
  </si>
  <si>
    <t>Resistencia metal film 499 Ω 0.1 %</t>
  </si>
  <si>
    <t>No se encontró precio confiable</t>
  </si>
  <si>
    <t>Solo si NO se compra el TM3AI4. Son de muy bajo costo; pedir unas de repuesto.</t>
  </si>
  <si>
    <t>Seguridad del quemador piloto</t>
  </si>
  <si>
    <t>Seguridad</t>
  </si>
  <si>
    <t>Relé de control de llama</t>
  </si>
  <si>
    <t>Programador / relé de supervisión de llama compatible con el quemador (atmosférico, GLP). Debe cerrar la solenoide ante pérdida de llama.</t>
  </si>
  <si>
    <t>Honeywell RM7890 (+ base y amplificador)</t>
  </si>
  <si>
    <t>Kele</t>
  </si>
  <si>
    <t>Requiere base de montaje y amplificador aparte. Lo debe definir el técnico de quemadores: para quemadores pequeños hay relés de ionización más económicos.</t>
  </si>
  <si>
    <t>Sensor de llama</t>
  </si>
  <si>
    <t>Detector UV o varilla de ionización compatible con el relé anterior.</t>
  </si>
  <si>
    <t>Fireye UV7R4 (UV, 1/2" NPT)</t>
  </si>
  <si>
    <t>Jackson Systems</t>
  </si>
  <si>
    <t>Debe ser compatible con el relé elegido.</t>
  </si>
  <si>
    <t>Válvula de control para gas (réplica)</t>
  </si>
  <si>
    <t>Válvula de bola característica (V-port) o válvula modulante de gas, 1/2", apta para GLP, con actuador 4–20 mA y feedback.</t>
  </si>
  <si>
    <t>Assured Automation S4 + válvula (ya tienes 1)</t>
  </si>
  <si>
    <t>Cotizar con Assured Automation / distribuidor</t>
  </si>
  <si>
    <t>Cantidad 0 en fase 1: el piloto usa la S4 que ya tienes. Para réplica: 4 por máquina.</t>
  </si>
  <si>
    <t>Tablero y red</t>
  </si>
  <si>
    <t>Tablero</t>
  </si>
  <si>
    <t>Fuente 24 VDC</t>
  </si>
  <si>
    <t>Fuente conmutada riel DIN, 24 VDC, 5 A (120 W), entrada 120/240 VAC.</t>
  </si>
  <si>
    <t>Mean Well NDR-120-24</t>
  </si>
  <si>
    <t>Precios encontrados solo en otras monedas</t>
  </si>
  <si>
    <t>Ya tienes una fuente de 24 V; esta sería para el tablero de la máquina 1.</t>
  </si>
  <si>
    <t>Gabinete</t>
  </si>
  <si>
    <t>Gabinete metálico NEMA 4 / IP65 aprox. 16×12×6" (400×300×150 mm) con doble fondo.</t>
  </si>
  <si>
    <t>Hoffman A16H1206SSLP (inox.)</t>
  </si>
  <si>
    <t>Referencia ALTA (acero inoxidable). Uno de acero al carbón pintado, fabricado o comprado en Guatemala, cuesta mucho menos.</t>
  </si>
  <si>
    <t>Cable de señal blindado</t>
  </si>
  <si>
    <t>Cable 1 par trenzado 18 AWG con blindaje y drenaje (tipo Belden 8760), rollo de 250 ft.</t>
  </si>
  <si>
    <t>rollo</t>
  </si>
  <si>
    <t>Belden 8760 (250 ft)</t>
  </si>
  <si>
    <t>Markertek</t>
  </si>
  <si>
    <t>≈ USD 1.64/ft. Equivalentes locales sirven si son par trenzado con blindaje.</t>
  </si>
  <si>
    <t>Material eléctrico menor</t>
  </si>
  <si>
    <t>Breakers/fusibles, borneras con puente, relés de interfaz, canaleta, riel DIN, punteras, prensaestopas, etiquetas.</t>
  </si>
  <si>
    <t>lote</t>
  </si>
  <si>
    <t>Varios</t>
  </si>
  <si>
    <t>Cotizar localmente</t>
  </si>
  <si>
    <t>Conviene comprarlo localmente.</t>
  </si>
  <si>
    <t>Red</t>
  </si>
  <si>
    <t>Switch Ethernet industrial</t>
  </si>
  <si>
    <t>Switch no administrable, 5 puertos RJ45, riel DIN, alimentación 24 VDC.</t>
  </si>
  <si>
    <t>AutomationDirect STRIDE SE2-SW5UG-T</t>
  </si>
  <si>
    <t>AutomationDirect</t>
  </si>
  <si>
    <t>Para unir PLC(s) y servidor en la red de control.</t>
  </si>
  <si>
    <t>Servidor (colector + base de datos + Grafana)</t>
  </si>
  <si>
    <t>Mini PC sin ventilador o PC de escritorio siempre encendida: 8 GB RAM, SSD 256 GB, Ethernet. O máquina virtual de TI.</t>
  </si>
  <si>
    <t>Mini PC industrial / VM de TI</t>
  </si>
  <si>
    <t>Cotizar con TI</t>
  </si>
  <si>
    <t>Si TI da una máquina virtual, esta fila queda en 0.</t>
  </si>
  <si>
    <t>Servicios</t>
  </si>
  <si>
    <t>Instalación de gas y prueba de hermeticidad</t>
  </si>
  <si>
    <t>Instalador de gas autorizado: montaje del medidor y transmisor de presión, prueba de fugas, revisión del tren de gas del quemador piloto.</t>
  </si>
  <si>
    <t>Instalador autorizado local</t>
  </si>
  <si>
    <t>Obligatorio por seguridad.</t>
  </si>
  <si>
    <t>Técnico de quemadores</t>
  </si>
  <si>
    <t>Selección e instalación de la detección de llama, ajuste de fuego mínimo de la válvula modulante en el quemador piloto.</t>
  </si>
  <si>
    <t>Técnico de combustión local</t>
  </si>
  <si>
    <t>Define el relé y el sensor de llama correctos.</t>
  </si>
  <si>
    <t>Ejemplo de cómo llenar las celdas amarillas:</t>
  </si>
  <si>
    <t>(fila de ejemplo, no suma)</t>
  </si>
  <si>
    <t>Distribuidor X</t>
  </si>
  <si>
    <t>Distribuidor Y</t>
  </si>
  <si>
    <t>3 semanas</t>
  </si>
  <si>
    <t>TOTALES</t>
  </si>
  <si>
    <t>Nota</t>
  </si>
  <si>
    <t>Los totales de referencia solo suman las filas que tienen precio de EE. UU.; las filas sin precio (medidor de gas, servicios, etc.) hay que cotizarlas y pueden ser una parte importante del total.</t>
  </si>
  <si>
    <t>Totales de cotización GT = precio unitario × cantidad.</t>
  </si>
  <si>
    <t>Cotización – Fase 1: medición de gas y quemador piloto (máquina 1)</t>
  </si>
  <si>
    <t>Para qué es este archivo</t>
  </si>
  <si>
    <t>Lista de equipos para cotizar con distribuidores en Guatemala, con un precio de referencia de EE. UU. y un estimado puesto en Guatemala.</t>
  </si>
  <si>
    <t>Qué celdas llenar</t>
  </si>
  <si>
    <t>• Celdas AMARILLAS en la hoja 'Fase 1': precios que te den los proveedores en Guatemala (Q por unidad), nombre del proveedor y tiempo de entrega.</t>
  </si>
  <si>
    <t>• Texto AZUL en la hoja 'Supuestos': tipo de cambio, flete, DAI e IVA. Al cambiarlos se recalcula el estimado.</t>
  </si>
  <si>
    <t>Cómo leer las columnas</t>
  </si>
  <si>
    <t>• 'Precio ref. EE. UU.': precio encontrado en internet en octubre de 2026 (link en 'Fuente del precio'). Es solo referencia; puede haber cambiado.</t>
  </si>
  <si>
    <t>• 'Amazon EE. UU.': link de búsqueda en Amazon con la especificación. Revisa vendedor, garantía y si envía a Guatemala.</t>
  </si>
  <si>
    <t>• 'Estimado puesto en GT': precio EE. UU. × (1 + flete) × (1 + DAI) × (1 + IVA) × tipo de cambio. NO es una cotización: sirve para comparar.</t>
  </si>
  <si>
    <t>• Si una fila no tiene precio de referencia, es porque no se encontró uno confiable: hay que cotizarla directamente.</t>
  </si>
  <si>
    <t>Recomendaciones para cotizar</t>
  </si>
  <si>
    <t>• Envía la columna 'Especificación' a cada proveedor: así te ofrecen su equivalente disponible en Guatemala.</t>
  </si>
  <si>
    <t>• Pide al menos 2 cotizaciones por equipo, con IVA, flete y tiempo de entrega incluidos.</t>
  </si>
  <si>
    <t>• Lo de gas (medidor, detección de llama, instalación) lo debe validar un instalador de gas autorizado / técnico de quemadores.</t>
  </si>
  <si>
    <t>• Pregunta a tu proveedor de gas LP si instala telemetría de nivel en el tanque (muchos lo hacen para programar entregas).</t>
  </si>
  <si>
    <t>Supuestos para el estimado puesto en Guatemala</t>
  </si>
  <si>
    <t>Concepto</t>
  </si>
  <si>
    <t>Valor</t>
  </si>
  <si>
    <t>Nota / fuente</t>
  </si>
  <si>
    <t>Tipo de cambio (Q por USD)</t>
  </si>
  <si>
    <t>Supuesto: valor aproximado. Actualizar con el tipo de cambio de referencia del Banco de Guatemala (banguat.gob.gt).</t>
  </si>
  <si>
    <t>Flete / courier / seguro (% del precio)</t>
  </si>
  <si>
    <t>Supuesto: depende del peso y del courier. Pedir cotización de envío.</t>
  </si>
  <si>
    <t>DAI – derecho arancelario (%)</t>
  </si>
  <si>
    <t>Supuesto: varía por partida arancelaria (equipo industrial suele ser 0–15 %). Confirmar con un agente aduanal.</t>
  </si>
  <si>
    <t>IVA Guatemala (%)</t>
  </si>
  <si>
    <t>IVA general de Guatemala: 12 %.</t>
  </si>
  <si>
    <t>Factor total sobre el precio de EE. UU. (en USD)</t>
  </si>
  <si>
    <t>Referencia de plataformas de PLC (para decidir la marca de la planta)</t>
  </si>
  <si>
    <t>Modelo</t>
  </si>
  <si>
    <t>Precio ref. EE. UU. (USD)</t>
  </si>
  <si>
    <t>Fuente</t>
  </si>
  <si>
    <t>Estimado puesto en GT (Q)</t>
  </si>
  <si>
    <t>Schneider M221 (el que ya tienes)</t>
  </si>
  <si>
    <t>TM221ME16R</t>
  </si>
  <si>
    <t>Powermatic</t>
  </si>
  <si>
    <t>Software gratis (Machine Expert Basic). Solo Ladder/IL. 2 entradas 0–10 V integradas.</t>
  </si>
  <si>
    <t>Schneider salida analógica ×4</t>
  </si>
  <si>
    <t>TM3AQ4</t>
  </si>
  <si>
    <t>Para los 4 quemadores de una máquina (réplica).</t>
  </si>
  <si>
    <t>Siemens S7-1200</t>
  </si>
  <si>
    <t>CPU 1214C DC/DC/DC (6ES7214-1AG40-0XB0)</t>
  </si>
  <si>
    <t>eBay (revendedor)</t>
  </si>
  <si>
    <t>Precio de revendedor; en Farnell Irlanda ~EUR 414. Software TIA Portal es de paga. Ladder + SCL (texto estructurado).</t>
  </si>
  <si>
    <t>Siemens LOGO! 8 (lo que tienen las máquinas)</t>
  </si>
  <si>
    <t>6ED1052-1MD08-0BA1</t>
  </si>
  <si>
    <t>Automation Warehouse</t>
  </si>
  <si>
    <t>Relé programable: sirve para secuencias simples, no para 4 lazos PID con supervisión.</t>
  </si>
  <si>
    <t>Precios de referencia encontrados en internet en octubre de 2026; pedir cotización a distribuidores autorizados en Guatemala.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</si>
</sst>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&quot;$&quot;#,##0.00;\(&quot;$&quot;#,##0.00\);&quot;-&quot;"/>
    <numFmt numFmtId="167" formatCode="&quot;Q&quot;#,##0.00;\(&quot;Q&quot;#,##0.00\);&quot;-&quot;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F6B"/>
      <name val="Arial"/>
    </font>
    <font>
      <u/>
      <sz val="10"/>
      <color rgb="FF0563C1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D232B"/>
      </patternFill>
    </fill>
    <fill>
      <patternFill patternType="solid">
        <fgColor rgb="FFE6E9E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9D0D8"/>
      </left>
      <right style="thin">
        <color rgb="FFC9D0D8"/>
      </right>
      <top style="thin">
        <color rgb="FFC9D0D8"/>
      </top>
      <bottom style="thin">
        <color rgb="FFC9D0D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8" fillId="0" borderId="0" xfId="0" applyFont="1"/>
    <xf numFmtId="0" fontId="4" fillId="2" borderId="0" xfId="0" applyFont="1" applyFill="1"/>
    <xf numFmtId="0" fontId="2" fillId="0" borderId="0" xfId="0" applyFont="1"/>
    <xf numFmtId="2" fontId="5" fillId="0" borderId="0" xfId="0" applyNumberFormat="1" applyFont="1"/>
    <xf numFmtId="0" fontId="6" fillId="0" borderId="0" xfId="0" applyFont="1"/>
    <xf numFmtId="164" fontId="5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8" fillId="3" borderId="1" xfId="0" applyFont="1" applyFill="1" applyBorder="1"/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7" fontId="2" fillId="0" borderId="1" xfId="0" applyNumberFormat="1" applyFont="1" applyBorder="1" applyAlignment="1">
      <alignment vertical="top" wrapText="1"/>
    </xf>
    <xf numFmtId="167" fontId="2" fillId="4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7" fontId="6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?k=PT100+RTD+3+wire+probe+1%2F2+NPT+head+stainless" TargetMode="External"/><Relationship Id="rId13" Type="http://schemas.openxmlformats.org/officeDocument/2006/relationships/hyperlink" Target="https://www.amazon.com/s?k=Schneider+TM3AI4" TargetMode="External"/><Relationship Id="rId18" Type="http://schemas.openxmlformats.org/officeDocument/2006/relationships/hyperlink" Target="https://www.amazon.com/s?k=UV+flame+scanner+burner" TargetMode="External"/><Relationship Id="rId26" Type="http://schemas.openxmlformats.org/officeDocument/2006/relationships/hyperlink" Target="https://www.amazon.com/s?k=Belden+8760+18+AWG+shielded+pair" TargetMode="External"/><Relationship Id="rId3" Type="http://schemas.openxmlformats.org/officeDocument/2006/relationships/hyperlink" Target="https://www.l-com.com/iot-pressure-transmitter-0-30psi-4-20ma-out-11-28v-stainless-316l-npt1-2-m-din-43650-plug-gauge" TargetMode="External"/><Relationship Id="rId21" Type="http://schemas.openxmlformats.org/officeDocument/2006/relationships/hyperlink" Target="https://se.rs-online.com/web/p/din-rail-power-supplies/1222214" TargetMode="External"/><Relationship Id="rId7" Type="http://schemas.openxmlformats.org/officeDocument/2006/relationships/hyperlink" Target="https://www.omega.com/en-us/temperature-measurement/temperature-probes/probes-with-industrial-heads/pr-14/p/PR-14H-3-100-1-4-6" TargetMode="External"/><Relationship Id="rId12" Type="http://schemas.openxmlformats.org/officeDocument/2006/relationships/hyperlink" Target="https://www.standardelectricsupply.com/Catalog/All-Products/Automation/Programmable-Logic-Controllers/I-O?page=33" TargetMode="External"/><Relationship Id="rId17" Type="http://schemas.openxmlformats.org/officeDocument/2006/relationships/hyperlink" Target="https://jacksonsystems.com/product/fireye-uv7r4-ultraviolet-flame-scanner-1-2-npt-90-uv-burner-detector/" TargetMode="External"/><Relationship Id="rId25" Type="http://schemas.openxmlformats.org/officeDocument/2006/relationships/hyperlink" Target="https://www.markertek.com/product/bl-8760-250/belden-8760-low-voltage-1-pair-microphone-electronic-multi-pair-cable-str-tc-shielded-18awg-chrome-250-foot" TargetMode="External"/><Relationship Id="rId2" Type="http://schemas.openxmlformats.org/officeDocument/2006/relationships/hyperlink" Target="https://www.amazon.com/s?k=LPG+propane+gas+flow+meter+pulse+output" TargetMode="External"/><Relationship Id="rId16" Type="http://schemas.openxmlformats.org/officeDocument/2006/relationships/hyperlink" Target="https://www.amazon.com/s?k=flame+safeguard+relay+burner" TargetMode="External"/><Relationship Id="rId20" Type="http://schemas.openxmlformats.org/officeDocument/2006/relationships/hyperlink" Target="https://www.amazon.com/s?k=V-port+ball+valve+electric+actuator+4-20mA" TargetMode="External"/><Relationship Id="rId29" Type="http://schemas.openxmlformats.org/officeDocument/2006/relationships/hyperlink" Target="https://www.amazon.com/s?k=industrial+unmanaged+ethernet+switch+5+port+DIN+rail+24VDC" TargetMode="External"/><Relationship Id="rId1" Type="http://schemas.openxmlformats.org/officeDocument/2006/relationships/hyperlink" Target="https://pdf.directindustry.com/pdf/siargo/mf-gd-series/243227-1146285.html" TargetMode="External"/><Relationship Id="rId6" Type="http://schemas.openxmlformats.org/officeDocument/2006/relationships/hyperlink" Target="https://www.amazon.com/s?k=propane+tank+level+sensor+remote" TargetMode="External"/><Relationship Id="rId11" Type="http://schemas.openxmlformats.org/officeDocument/2006/relationships/hyperlink" Target="https://www.amazon.com/s?k=Schneider+TM3TI4" TargetMode="External"/><Relationship Id="rId24" Type="http://schemas.openxmlformats.org/officeDocument/2006/relationships/hyperlink" Target="https://www.amazon.com/s?k=NEMA+4+steel+electrical+enclosure+16x12x6+back+panel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s://communityarchive.victronenergy.com/questions/272152/rochester-r3d-with-cerbo-or-tank-140.html" TargetMode="External"/><Relationship Id="rId15" Type="http://schemas.openxmlformats.org/officeDocument/2006/relationships/hyperlink" Target="https://www.kele.com/product/combustion-control-flame-safety/flame-safeguards/honeywell/rm7890a1015" TargetMode="External"/><Relationship Id="rId23" Type="http://schemas.openxmlformats.org/officeDocument/2006/relationships/hyperlink" Target="https://kele.com/product/enclosures/nema-4x/hoffman-enclosures/a-16h1206sslp-p" TargetMode="External"/><Relationship Id="rId28" Type="http://schemas.openxmlformats.org/officeDocument/2006/relationships/hyperlink" Target="https://www.automationdirect.com/adc/shopping/catalog/communications/industrial_ethernet_switches/unmanaged_switches/se2-sw5ug-t" TargetMode="External"/><Relationship Id="rId10" Type="http://schemas.openxmlformats.org/officeDocument/2006/relationships/hyperlink" Target="https://www.standardelectricsupply.com/Catalog/All-Products/Automation/Programmable-Logic-Controllers/I-O?page=31" TargetMode="External"/><Relationship Id="rId19" Type="http://schemas.openxmlformats.org/officeDocument/2006/relationships/hyperlink" Target="https://assuredautomation.com/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www.amazon.com/s?k=pressure+transmitter+0-30+psi+4-20mA+stainless" TargetMode="External"/><Relationship Id="rId9" Type="http://schemas.openxmlformats.org/officeDocument/2006/relationships/hyperlink" Target="https://www.amazon.com/s?k=thermowell+316+stainless+1%2F2+NPT" TargetMode="External"/><Relationship Id="rId14" Type="http://schemas.openxmlformats.org/officeDocument/2006/relationships/hyperlink" Target="https://www.amazon.com/s?k=499+ohm+resistor+0.1%25+1%2F2W+metal+film" TargetMode="External"/><Relationship Id="rId22" Type="http://schemas.openxmlformats.org/officeDocument/2006/relationships/hyperlink" Target="https://www.amazon.com/s?k=Mean+Well+NDR-120-24" TargetMode="External"/><Relationship Id="rId27" Type="http://schemas.openxmlformats.org/officeDocument/2006/relationships/hyperlink" Target="https://www.amazon.com/s?k=DIN+rail+terminal+block+kit" TargetMode="External"/><Relationship Id="rId30" Type="http://schemas.openxmlformats.org/officeDocument/2006/relationships/hyperlink" Target="https://www.amazon.com/s?k=fanless+mini+PC+8GB+256GB+SSD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ay.com/itm/155662002170" TargetMode="External"/><Relationship Id="rId2" Type="http://schemas.openxmlformats.org/officeDocument/2006/relationships/hyperlink" Target="https://www.standardelectricsupply.com/Brands/Schneider-Electric/Catalog/All?page=220" TargetMode="External"/><Relationship Id="rId1" Type="http://schemas.openxmlformats.org/officeDocument/2006/relationships/hyperlink" Target="https://www.powermatic.net/part/schneider-electric/tm221me16r/2269252" TargetMode="External"/><Relationship Id="rId4" Type="http://schemas.openxmlformats.org/officeDocument/2006/relationships/hyperlink" Target="https://automation-warehouse.com/products/6ed1052-1md08-0b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1" t="s">
        <v>136</v>
      </c>
    </row>
    <row r="2" spans="1:1" x14ac:dyDescent="0.25">
      <c r="A2" s="2"/>
    </row>
    <row r="3" spans="1:1" x14ac:dyDescent="0.25">
      <c r="A3" s="3" t="s">
        <v>137</v>
      </c>
    </row>
    <row r="4" spans="1:1" ht="25.5" x14ac:dyDescent="0.25">
      <c r="A4" s="2" t="s">
        <v>138</v>
      </c>
    </row>
    <row r="5" spans="1:1" x14ac:dyDescent="0.25">
      <c r="A5" s="2"/>
    </row>
    <row r="6" spans="1:1" x14ac:dyDescent="0.25">
      <c r="A6" s="3" t="s">
        <v>139</v>
      </c>
    </row>
    <row r="7" spans="1:1" ht="25.5" x14ac:dyDescent="0.25">
      <c r="A7" s="2" t="s">
        <v>140</v>
      </c>
    </row>
    <row r="8" spans="1:1" x14ac:dyDescent="0.25">
      <c r="A8" s="2" t="s">
        <v>141</v>
      </c>
    </row>
    <row r="9" spans="1:1" x14ac:dyDescent="0.25">
      <c r="A9" s="2"/>
    </row>
    <row r="10" spans="1:1" x14ac:dyDescent="0.25">
      <c r="A10" s="3" t="s">
        <v>142</v>
      </c>
    </row>
    <row r="11" spans="1:1" ht="25.5" x14ac:dyDescent="0.25">
      <c r="A11" s="2" t="s">
        <v>143</v>
      </c>
    </row>
    <row r="12" spans="1:1" x14ac:dyDescent="0.25">
      <c r="A12" s="2" t="s">
        <v>144</v>
      </c>
    </row>
    <row r="13" spans="1:1" ht="25.5" x14ac:dyDescent="0.25">
      <c r="A13" s="2" t="s">
        <v>145</v>
      </c>
    </row>
    <row r="14" spans="1:1" x14ac:dyDescent="0.25">
      <c r="A14" s="2" t="s">
        <v>146</v>
      </c>
    </row>
    <row r="15" spans="1:1" x14ac:dyDescent="0.25">
      <c r="A15" s="2"/>
    </row>
    <row r="16" spans="1:1" x14ac:dyDescent="0.25">
      <c r="A16" s="3" t="s">
        <v>147</v>
      </c>
    </row>
    <row r="17" spans="1:1" x14ac:dyDescent="0.25">
      <c r="A17" s="2" t="s">
        <v>148</v>
      </c>
    </row>
    <row r="18" spans="1:1" x14ac:dyDescent="0.25">
      <c r="A18" s="2" t="s">
        <v>149</v>
      </c>
    </row>
    <row r="19" spans="1:1" x14ac:dyDescent="0.25">
      <c r="A19" s="2" t="s">
        <v>150</v>
      </c>
    </row>
    <row r="20" spans="1:1" x14ac:dyDescent="0.25">
      <c r="A20" s="2" t="s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cols>
    <col min="1" max="1" width="44" customWidth="1"/>
    <col min="2" max="2" width="12" customWidth="1"/>
    <col min="3" max="3" width="100" customWidth="1"/>
  </cols>
  <sheetData>
    <row r="1" spans="1:3" ht="18" x14ac:dyDescent="0.25">
      <c r="A1" s="4" t="s">
        <v>152</v>
      </c>
      <c r="B1" s="5"/>
      <c r="C1" s="5"/>
    </row>
    <row r="2" spans="1:3" x14ac:dyDescent="0.25">
      <c r="A2" s="5"/>
      <c r="B2" s="5"/>
      <c r="C2" s="5"/>
    </row>
    <row r="3" spans="1:3" x14ac:dyDescent="0.25">
      <c r="A3" s="6" t="s">
        <v>153</v>
      </c>
      <c r="B3" s="6" t="s">
        <v>154</v>
      </c>
      <c r="C3" s="6" t="s">
        <v>155</v>
      </c>
    </row>
    <row r="4" spans="1:3" x14ac:dyDescent="0.25">
      <c r="A4" s="7" t="s">
        <v>156</v>
      </c>
      <c r="B4" s="8">
        <v>7.7</v>
      </c>
      <c r="C4" s="9" t="s">
        <v>157</v>
      </c>
    </row>
    <row r="5" spans="1:3" x14ac:dyDescent="0.25">
      <c r="A5" s="7" t="s">
        <v>158</v>
      </c>
      <c r="B5" s="10">
        <v>0.15</v>
      </c>
      <c r="C5" s="9" t="s">
        <v>159</v>
      </c>
    </row>
    <row r="6" spans="1:3" x14ac:dyDescent="0.25">
      <c r="A6" s="7" t="s">
        <v>160</v>
      </c>
      <c r="B6" s="10">
        <v>0.05</v>
      </c>
      <c r="C6" s="9" t="s">
        <v>161</v>
      </c>
    </row>
    <row r="7" spans="1:3" x14ac:dyDescent="0.25">
      <c r="A7" s="7" t="s">
        <v>162</v>
      </c>
      <c r="B7" s="10">
        <v>0.12</v>
      </c>
      <c r="C7" s="9" t="s">
        <v>163</v>
      </c>
    </row>
    <row r="8" spans="1:3" x14ac:dyDescent="0.25">
      <c r="A8" s="5"/>
      <c r="B8" s="5"/>
      <c r="C8" s="5"/>
    </row>
    <row r="9" spans="1:3" x14ac:dyDescent="0.25">
      <c r="A9" s="11" t="s">
        <v>164</v>
      </c>
      <c r="B9" s="12">
        <f>(1+B5)*(1+B6)*(1+B7)</f>
        <v>1.3524</v>
      </c>
      <c r="C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5"/>
  <sheetViews>
    <sheetView tabSelected="1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28" customWidth="1"/>
    <col min="4" max="4" width="52" customWidth="1"/>
    <col min="5" max="5" width="7" customWidth="1"/>
    <col min="6" max="6" width="9" customWidth="1"/>
    <col min="7" max="7" width="24" customWidth="1"/>
    <col min="8" max="8" width="14" customWidth="1"/>
    <col min="9" max="9" width="22" customWidth="1"/>
    <col min="10" max="10" width="18" customWidth="1"/>
    <col min="11" max="11" width="14" customWidth="1"/>
    <col min="12" max="13" width="15" customWidth="1"/>
    <col min="14" max="14" width="14" customWidth="1"/>
    <col min="15" max="15" width="18" customWidth="1"/>
    <col min="16" max="16" width="14" customWidth="1"/>
    <col min="17" max="17" width="18" customWidth="1"/>
    <col min="18" max="18" width="12" customWidth="1"/>
    <col min="19" max="19" width="46" customWidth="1"/>
  </cols>
  <sheetData>
    <row r="1" spans="1:19" ht="18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42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  <c r="Q3" s="13" t="s">
        <v>17</v>
      </c>
      <c r="R3" s="13" t="s">
        <v>18</v>
      </c>
      <c r="S3" s="13" t="s">
        <v>19</v>
      </c>
    </row>
    <row r="4" spans="1:19" x14ac:dyDescent="0.25">
      <c r="A4" s="14" t="s">
        <v>20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ht="51" x14ac:dyDescent="0.25">
      <c r="A5" s="16">
        <v>1</v>
      </c>
      <c r="B5" s="16" t="s">
        <v>21</v>
      </c>
      <c r="C5" s="16" t="s">
        <v>22</v>
      </c>
      <c r="D5" s="16" t="s">
        <v>23</v>
      </c>
      <c r="E5" s="17">
        <v>1</v>
      </c>
      <c r="F5" s="16" t="s">
        <v>24</v>
      </c>
      <c r="G5" s="16" t="s">
        <v>25</v>
      </c>
      <c r="H5" s="18"/>
      <c r="I5" s="19" t="s">
        <v>26</v>
      </c>
      <c r="J5" s="19" t="s">
        <v>27</v>
      </c>
      <c r="K5" s="18" t="str">
        <f>IF(H5="","",H5*E5)</f>
        <v/>
      </c>
      <c r="L5" s="20" t="str">
        <f>IF(H5="","",H5*Supuestos!$B$9*Supuestos!$B$4)</f>
        <v/>
      </c>
      <c r="M5" s="20" t="str">
        <f>IF(L5="","",L5*E5)</f>
        <v/>
      </c>
      <c r="N5" s="21"/>
      <c r="O5" s="22"/>
      <c r="P5" s="21"/>
      <c r="Q5" s="22"/>
      <c r="R5" s="22"/>
      <c r="S5" s="16" t="s">
        <v>28</v>
      </c>
    </row>
    <row r="6" spans="1:19" ht="38.25" x14ac:dyDescent="0.25">
      <c r="A6" s="16">
        <v>2</v>
      </c>
      <c r="B6" s="16" t="s">
        <v>21</v>
      </c>
      <c r="C6" s="16" t="s">
        <v>29</v>
      </c>
      <c r="D6" s="16" t="s">
        <v>30</v>
      </c>
      <c r="E6" s="17">
        <v>1</v>
      </c>
      <c r="F6" s="16" t="s">
        <v>24</v>
      </c>
      <c r="G6" s="16" t="s">
        <v>31</v>
      </c>
      <c r="H6" s="23">
        <v>107.99</v>
      </c>
      <c r="I6" s="19" t="s">
        <v>32</v>
      </c>
      <c r="J6" s="19" t="s">
        <v>27</v>
      </c>
      <c r="K6" s="18">
        <f>IF(H6="","",H6*E6)</f>
        <v>107.99</v>
      </c>
      <c r="L6" s="20">
        <f>IF(H6="","",H6*Supuestos!$B$9*Supuestos!$B$4)</f>
        <v>1124.5517052</v>
      </c>
      <c r="M6" s="20">
        <f>IF(L6="","",L6*E6)</f>
        <v>1124.5517052</v>
      </c>
      <c r="N6" s="21"/>
      <c r="O6" s="22"/>
      <c r="P6" s="21"/>
      <c r="Q6" s="22"/>
      <c r="R6" s="22"/>
      <c r="S6" s="16" t="s">
        <v>33</v>
      </c>
    </row>
    <row r="7" spans="1:19" ht="38.25" x14ac:dyDescent="0.25">
      <c r="A7" s="16">
        <v>3</v>
      </c>
      <c r="B7" s="16" t="s">
        <v>21</v>
      </c>
      <c r="C7" s="16" t="s">
        <v>34</v>
      </c>
      <c r="D7" s="16" t="s">
        <v>35</v>
      </c>
      <c r="E7" s="17">
        <v>1</v>
      </c>
      <c r="F7" s="16" t="s">
        <v>36</v>
      </c>
      <c r="G7" s="16" t="s">
        <v>37</v>
      </c>
      <c r="H7" s="18"/>
      <c r="I7" s="19" t="s">
        <v>38</v>
      </c>
      <c r="J7" s="19" t="s">
        <v>27</v>
      </c>
      <c r="K7" s="18" t="str">
        <f>IF(H7="","",H7*E7)</f>
        <v/>
      </c>
      <c r="L7" s="20" t="str">
        <f>IF(H7="","",H7*Supuestos!$B$9*Supuestos!$B$4)</f>
        <v/>
      </c>
      <c r="M7" s="20" t="str">
        <f>IF(L7="","",L7*E7)</f>
        <v/>
      </c>
      <c r="N7" s="21"/>
      <c r="O7" s="22"/>
      <c r="P7" s="21"/>
      <c r="Q7" s="22"/>
      <c r="R7" s="22"/>
      <c r="S7" s="16" t="s">
        <v>39</v>
      </c>
    </row>
    <row r="8" spans="1:19" x14ac:dyDescent="0.25">
      <c r="A8" s="14" t="s">
        <v>40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38.25" x14ac:dyDescent="0.25">
      <c r="A9" s="16">
        <v>4</v>
      </c>
      <c r="B9" s="16" t="s">
        <v>40</v>
      </c>
      <c r="C9" s="16" t="s">
        <v>41</v>
      </c>
      <c r="D9" s="16" t="s">
        <v>42</v>
      </c>
      <c r="E9" s="17">
        <v>6</v>
      </c>
      <c r="F9" s="16" t="s">
        <v>24</v>
      </c>
      <c r="G9" s="16" t="s">
        <v>43</v>
      </c>
      <c r="H9" s="23">
        <v>96.08</v>
      </c>
      <c r="I9" s="19" t="s">
        <v>44</v>
      </c>
      <c r="J9" s="19" t="s">
        <v>27</v>
      </c>
      <c r="K9" s="18">
        <f>IF(H9="","",H9*E9)</f>
        <v>576.48</v>
      </c>
      <c r="L9" s="20">
        <f>IF(H9="","",H9*Supuestos!$B$9*Supuestos!$B$4)</f>
        <v>1000.5271584000001</v>
      </c>
      <c r="M9" s="20">
        <f>IF(L9="","",L9*E9)</f>
        <v>6003.1629504000002</v>
      </c>
      <c r="N9" s="21"/>
      <c r="O9" s="22"/>
      <c r="P9" s="21"/>
      <c r="Q9" s="22"/>
      <c r="R9" s="22"/>
      <c r="S9" s="16" t="s">
        <v>45</v>
      </c>
    </row>
    <row r="10" spans="1:19" ht="25.5" x14ac:dyDescent="0.25">
      <c r="A10" s="16">
        <v>5</v>
      </c>
      <c r="B10" s="16" t="s">
        <v>40</v>
      </c>
      <c r="C10" s="16" t="s">
        <v>46</v>
      </c>
      <c r="D10" s="16" t="s">
        <v>47</v>
      </c>
      <c r="E10" s="17">
        <v>6</v>
      </c>
      <c r="F10" s="16" t="s">
        <v>24</v>
      </c>
      <c r="G10" s="16" t="s">
        <v>48</v>
      </c>
      <c r="H10" s="18"/>
      <c r="I10" s="16" t="s">
        <v>49</v>
      </c>
      <c r="J10" s="19" t="s">
        <v>27</v>
      </c>
      <c r="K10" s="18" t="str">
        <f>IF(H10="","",H10*E10)</f>
        <v/>
      </c>
      <c r="L10" s="20" t="str">
        <f>IF(H10="","",H10*Supuestos!$B$9*Supuestos!$B$4)</f>
        <v/>
      </c>
      <c r="M10" s="20" t="str">
        <f>IF(L10="","",L10*E10)</f>
        <v/>
      </c>
      <c r="N10" s="21"/>
      <c r="O10" s="22"/>
      <c r="P10" s="21"/>
      <c r="Q10" s="22"/>
      <c r="R10" s="22"/>
      <c r="S10" s="16" t="s">
        <v>50</v>
      </c>
    </row>
    <row r="11" spans="1:19" ht="38.25" x14ac:dyDescent="0.25">
      <c r="A11" s="16">
        <v>6</v>
      </c>
      <c r="B11" s="16" t="s">
        <v>40</v>
      </c>
      <c r="C11" s="16" t="s">
        <v>51</v>
      </c>
      <c r="D11" s="16" t="s">
        <v>52</v>
      </c>
      <c r="E11" s="17">
        <v>2</v>
      </c>
      <c r="F11" s="16" t="s">
        <v>24</v>
      </c>
      <c r="G11" s="16" t="s">
        <v>53</v>
      </c>
      <c r="H11" s="23">
        <v>334.11</v>
      </c>
      <c r="I11" s="19" t="s">
        <v>54</v>
      </c>
      <c r="J11" s="19" t="s">
        <v>27</v>
      </c>
      <c r="K11" s="18">
        <f>IF(H11="","",H11*E11)</f>
        <v>668.22</v>
      </c>
      <c r="L11" s="20">
        <f>IF(H11="","",H11*Supuestos!$B$9*Supuestos!$B$4)</f>
        <v>3479.2478028</v>
      </c>
      <c r="M11" s="20">
        <f>IF(L11="","",L11*E11)</f>
        <v>6958.4956056000001</v>
      </c>
      <c r="N11" s="21"/>
      <c r="O11" s="22"/>
      <c r="P11" s="21"/>
      <c r="Q11" s="22"/>
      <c r="R11" s="22"/>
      <c r="S11" s="16" t="s">
        <v>55</v>
      </c>
    </row>
    <row r="12" spans="1:19" x14ac:dyDescent="0.25">
      <c r="A12" s="14" t="s">
        <v>56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38.25" x14ac:dyDescent="0.25">
      <c r="A13" s="16">
        <v>7</v>
      </c>
      <c r="B13" s="16" t="s">
        <v>57</v>
      </c>
      <c r="C13" s="16" t="s">
        <v>58</v>
      </c>
      <c r="D13" s="16" t="s">
        <v>59</v>
      </c>
      <c r="E13" s="17">
        <v>1</v>
      </c>
      <c r="F13" s="16" t="s">
        <v>24</v>
      </c>
      <c r="G13" s="16" t="s">
        <v>60</v>
      </c>
      <c r="H13" s="23">
        <v>278.23</v>
      </c>
      <c r="I13" s="19" t="s">
        <v>54</v>
      </c>
      <c r="J13" s="19" t="s">
        <v>27</v>
      </c>
      <c r="K13" s="18">
        <f>IF(H13="","",H13*E13)</f>
        <v>278.23</v>
      </c>
      <c r="L13" s="20">
        <f>IF(H13="","",H13*Supuestos!$B$9*Supuestos!$B$4)</f>
        <v>2897.3425404000004</v>
      </c>
      <c r="M13" s="20">
        <f>IF(L13="","",L13*E13)</f>
        <v>2897.3425404000004</v>
      </c>
      <c r="N13" s="21"/>
      <c r="O13" s="22"/>
      <c r="P13" s="21"/>
      <c r="Q13" s="22"/>
      <c r="R13" s="22"/>
      <c r="S13" s="16" t="s">
        <v>61</v>
      </c>
    </row>
    <row r="14" spans="1:19" ht="25.5" x14ac:dyDescent="0.25">
      <c r="A14" s="16">
        <v>8</v>
      </c>
      <c r="B14" s="16" t="s">
        <v>57</v>
      </c>
      <c r="C14" s="16" t="s">
        <v>62</v>
      </c>
      <c r="D14" s="16" t="s">
        <v>63</v>
      </c>
      <c r="E14" s="17">
        <v>4</v>
      </c>
      <c r="F14" s="16" t="s">
        <v>24</v>
      </c>
      <c r="G14" s="16" t="s">
        <v>64</v>
      </c>
      <c r="H14" s="18"/>
      <c r="I14" s="16" t="s">
        <v>65</v>
      </c>
      <c r="J14" s="19" t="s">
        <v>27</v>
      </c>
      <c r="K14" s="18" t="str">
        <f>IF(H14="","",H14*E14)</f>
        <v/>
      </c>
      <c r="L14" s="20" t="str">
        <f>IF(H14="","",H14*Supuestos!$B$9*Supuestos!$B$4)</f>
        <v/>
      </c>
      <c r="M14" s="20" t="str">
        <f>IF(L14="","",L14*E14)</f>
        <v/>
      </c>
      <c r="N14" s="21"/>
      <c r="O14" s="22"/>
      <c r="P14" s="21"/>
      <c r="Q14" s="22"/>
      <c r="R14" s="22"/>
      <c r="S14" s="16" t="s">
        <v>66</v>
      </c>
    </row>
    <row r="15" spans="1:19" x14ac:dyDescent="0.25">
      <c r="A15" s="14" t="s">
        <v>67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ht="51" x14ac:dyDescent="0.25">
      <c r="A16" s="16">
        <v>9</v>
      </c>
      <c r="B16" s="16" t="s">
        <v>68</v>
      </c>
      <c r="C16" s="16" t="s">
        <v>69</v>
      </c>
      <c r="D16" s="16" t="s">
        <v>70</v>
      </c>
      <c r="E16" s="17">
        <v>1</v>
      </c>
      <c r="F16" s="16" t="s">
        <v>24</v>
      </c>
      <c r="G16" s="16" t="s">
        <v>71</v>
      </c>
      <c r="H16" s="23">
        <v>1190.1099999999999</v>
      </c>
      <c r="I16" s="19" t="s">
        <v>72</v>
      </c>
      <c r="J16" s="19" t="s">
        <v>27</v>
      </c>
      <c r="K16" s="18">
        <f>IF(H16="","",H16*E16)</f>
        <v>1190.1099999999999</v>
      </c>
      <c r="L16" s="20">
        <f>IF(H16="","",H16*Supuestos!$B$9*Supuestos!$B$4)</f>
        <v>12393.1866828</v>
      </c>
      <c r="M16" s="20">
        <f>IF(L16="","",L16*E16)</f>
        <v>12393.1866828</v>
      </c>
      <c r="N16" s="21"/>
      <c r="O16" s="22"/>
      <c r="P16" s="21"/>
      <c r="Q16" s="22"/>
      <c r="R16" s="22"/>
      <c r="S16" s="16" t="s">
        <v>73</v>
      </c>
    </row>
    <row r="17" spans="1:19" ht="25.5" x14ac:dyDescent="0.25">
      <c r="A17" s="16">
        <v>10</v>
      </c>
      <c r="B17" s="16" t="s">
        <v>68</v>
      </c>
      <c r="C17" s="16" t="s">
        <v>74</v>
      </c>
      <c r="D17" s="16" t="s">
        <v>75</v>
      </c>
      <c r="E17" s="17">
        <v>1</v>
      </c>
      <c r="F17" s="16" t="s">
        <v>24</v>
      </c>
      <c r="G17" s="16" t="s">
        <v>76</v>
      </c>
      <c r="H17" s="23">
        <v>215.14</v>
      </c>
      <c r="I17" s="19" t="s">
        <v>77</v>
      </c>
      <c r="J17" s="19" t="s">
        <v>27</v>
      </c>
      <c r="K17" s="18">
        <f>IF(H17="","",H17*E17)</f>
        <v>215.14</v>
      </c>
      <c r="L17" s="20">
        <f>IF(H17="","",H17*Supuestos!$B$9*Supuestos!$B$4)</f>
        <v>2240.3560871999998</v>
      </c>
      <c r="M17" s="20">
        <f>IF(L17="","",L17*E17)</f>
        <v>2240.3560871999998</v>
      </c>
      <c r="N17" s="21"/>
      <c r="O17" s="22"/>
      <c r="P17" s="21"/>
      <c r="Q17" s="22"/>
      <c r="R17" s="22"/>
      <c r="S17" s="16" t="s">
        <v>78</v>
      </c>
    </row>
    <row r="18" spans="1:19" ht="38.25" x14ac:dyDescent="0.25">
      <c r="A18" s="16">
        <v>11</v>
      </c>
      <c r="B18" s="16" t="s">
        <v>68</v>
      </c>
      <c r="C18" s="16" t="s">
        <v>79</v>
      </c>
      <c r="D18" s="16" t="s">
        <v>80</v>
      </c>
      <c r="E18" s="17">
        <v>0</v>
      </c>
      <c r="F18" s="16" t="s">
        <v>24</v>
      </c>
      <c r="G18" s="16" t="s">
        <v>81</v>
      </c>
      <c r="H18" s="18"/>
      <c r="I18" s="19" t="s">
        <v>82</v>
      </c>
      <c r="J18" s="19" t="s">
        <v>27</v>
      </c>
      <c r="K18" s="18" t="str">
        <f>IF(H18="","",H18*E18)</f>
        <v/>
      </c>
      <c r="L18" s="20" t="str">
        <f>IF(H18="","",H18*Supuestos!$B$9*Supuestos!$B$4)</f>
        <v/>
      </c>
      <c r="M18" s="20" t="str">
        <f>IF(L18="","",L18*E18)</f>
        <v/>
      </c>
      <c r="N18" s="21"/>
      <c r="O18" s="22"/>
      <c r="P18" s="21"/>
      <c r="Q18" s="22"/>
      <c r="R18" s="22"/>
      <c r="S18" s="16" t="s">
        <v>83</v>
      </c>
    </row>
    <row r="19" spans="1:19" x14ac:dyDescent="0.25">
      <c r="A19" s="14" t="s">
        <v>84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ht="25.5" x14ac:dyDescent="0.25">
      <c r="A20" s="16">
        <v>12</v>
      </c>
      <c r="B20" s="16" t="s">
        <v>85</v>
      </c>
      <c r="C20" s="16" t="s">
        <v>86</v>
      </c>
      <c r="D20" s="16" t="s">
        <v>87</v>
      </c>
      <c r="E20" s="17">
        <v>1</v>
      </c>
      <c r="F20" s="16" t="s">
        <v>24</v>
      </c>
      <c r="G20" s="16" t="s">
        <v>88</v>
      </c>
      <c r="H20" s="18"/>
      <c r="I20" s="19" t="s">
        <v>89</v>
      </c>
      <c r="J20" s="19" t="s">
        <v>27</v>
      </c>
      <c r="K20" s="18" t="str">
        <f t="shared" ref="K20:K25" si="0">IF(H20="","",H20*E20)</f>
        <v/>
      </c>
      <c r="L20" s="20" t="str">
        <f>IF(H20="","",H20*Supuestos!$B$9*Supuestos!$B$4)</f>
        <v/>
      </c>
      <c r="M20" s="20" t="str">
        <f t="shared" ref="M20:M25" si="1">IF(L20="","",L20*E20)</f>
        <v/>
      </c>
      <c r="N20" s="21"/>
      <c r="O20" s="22"/>
      <c r="P20" s="21"/>
      <c r="Q20" s="22"/>
      <c r="R20" s="22"/>
      <c r="S20" s="16" t="s">
        <v>90</v>
      </c>
    </row>
    <row r="21" spans="1:19" ht="38.25" x14ac:dyDescent="0.25">
      <c r="A21" s="16">
        <v>13</v>
      </c>
      <c r="B21" s="16" t="s">
        <v>85</v>
      </c>
      <c r="C21" s="16" t="s">
        <v>91</v>
      </c>
      <c r="D21" s="16" t="s">
        <v>92</v>
      </c>
      <c r="E21" s="17">
        <v>1</v>
      </c>
      <c r="F21" s="16" t="s">
        <v>24</v>
      </c>
      <c r="G21" s="16" t="s">
        <v>93</v>
      </c>
      <c r="H21" s="23">
        <v>1642.16</v>
      </c>
      <c r="I21" s="19" t="s">
        <v>72</v>
      </c>
      <c r="J21" s="19" t="s">
        <v>27</v>
      </c>
      <c r="K21" s="18">
        <f t="shared" si="0"/>
        <v>1642.16</v>
      </c>
      <c r="L21" s="20">
        <f>IF(H21="","",H21*Supuestos!$B$9*Supuestos!$B$4)</f>
        <v>17100.600316799999</v>
      </c>
      <c r="M21" s="20">
        <f t="shared" si="1"/>
        <v>17100.600316799999</v>
      </c>
      <c r="N21" s="21"/>
      <c r="O21" s="22"/>
      <c r="P21" s="21"/>
      <c r="Q21" s="22"/>
      <c r="R21" s="22"/>
      <c r="S21" s="16" t="s">
        <v>94</v>
      </c>
    </row>
    <row r="22" spans="1:19" ht="25.5" x14ac:dyDescent="0.25">
      <c r="A22" s="16">
        <v>14</v>
      </c>
      <c r="B22" s="16" t="s">
        <v>85</v>
      </c>
      <c r="C22" s="16" t="s">
        <v>95</v>
      </c>
      <c r="D22" s="16" t="s">
        <v>96</v>
      </c>
      <c r="E22" s="17">
        <v>1</v>
      </c>
      <c r="F22" s="16" t="s">
        <v>97</v>
      </c>
      <c r="G22" s="16" t="s">
        <v>98</v>
      </c>
      <c r="H22" s="23">
        <v>409</v>
      </c>
      <c r="I22" s="19" t="s">
        <v>99</v>
      </c>
      <c r="J22" s="19" t="s">
        <v>27</v>
      </c>
      <c r="K22" s="18">
        <f t="shared" si="0"/>
        <v>409</v>
      </c>
      <c r="L22" s="20">
        <f>IF(H22="","",H22*Supuestos!$B$9*Supuestos!$B$4)</f>
        <v>4259.1133200000004</v>
      </c>
      <c r="M22" s="20">
        <f t="shared" si="1"/>
        <v>4259.1133200000004</v>
      </c>
      <c r="N22" s="21"/>
      <c r="O22" s="22"/>
      <c r="P22" s="21"/>
      <c r="Q22" s="22"/>
      <c r="R22" s="22"/>
      <c r="S22" s="16" t="s">
        <v>100</v>
      </c>
    </row>
    <row r="23" spans="1:19" ht="25.5" x14ac:dyDescent="0.25">
      <c r="A23" s="16">
        <v>15</v>
      </c>
      <c r="B23" s="16" t="s">
        <v>85</v>
      </c>
      <c r="C23" s="16" t="s">
        <v>101</v>
      </c>
      <c r="D23" s="16" t="s">
        <v>102</v>
      </c>
      <c r="E23" s="17">
        <v>1</v>
      </c>
      <c r="F23" s="16" t="s">
        <v>103</v>
      </c>
      <c r="G23" s="16" t="s">
        <v>104</v>
      </c>
      <c r="H23" s="18"/>
      <c r="I23" s="16" t="s">
        <v>105</v>
      </c>
      <c r="J23" s="19" t="s">
        <v>27</v>
      </c>
      <c r="K23" s="18" t="str">
        <f t="shared" si="0"/>
        <v/>
      </c>
      <c r="L23" s="20" t="str">
        <f>IF(H23="","",H23*Supuestos!$B$9*Supuestos!$B$4)</f>
        <v/>
      </c>
      <c r="M23" s="20" t="str">
        <f t="shared" si="1"/>
        <v/>
      </c>
      <c r="N23" s="21"/>
      <c r="O23" s="22"/>
      <c r="P23" s="21"/>
      <c r="Q23" s="22"/>
      <c r="R23" s="22"/>
      <c r="S23" s="16" t="s">
        <v>106</v>
      </c>
    </row>
    <row r="24" spans="1:19" ht="25.5" x14ac:dyDescent="0.25">
      <c r="A24" s="16">
        <v>16</v>
      </c>
      <c r="B24" s="16" t="s">
        <v>107</v>
      </c>
      <c r="C24" s="16" t="s">
        <v>108</v>
      </c>
      <c r="D24" s="16" t="s">
        <v>109</v>
      </c>
      <c r="E24" s="17">
        <v>1</v>
      </c>
      <c r="F24" s="16" t="s">
        <v>24</v>
      </c>
      <c r="G24" s="16" t="s">
        <v>110</v>
      </c>
      <c r="H24" s="23">
        <v>276.5</v>
      </c>
      <c r="I24" s="19" t="s">
        <v>111</v>
      </c>
      <c r="J24" s="19" t="s">
        <v>27</v>
      </c>
      <c r="K24" s="18">
        <f t="shared" si="0"/>
        <v>276.5</v>
      </c>
      <c r="L24" s="20">
        <f>IF(H24="","",H24*Supuestos!$B$9*Supuestos!$B$4)</f>
        <v>2879.3272200000001</v>
      </c>
      <c r="M24" s="20">
        <f t="shared" si="1"/>
        <v>2879.3272200000001</v>
      </c>
      <c r="N24" s="21"/>
      <c r="O24" s="22"/>
      <c r="P24" s="21"/>
      <c r="Q24" s="22"/>
      <c r="R24" s="22"/>
      <c r="S24" s="16" t="s">
        <v>112</v>
      </c>
    </row>
    <row r="25" spans="1:19" ht="38.25" x14ac:dyDescent="0.25">
      <c r="A25" s="16">
        <v>17</v>
      </c>
      <c r="B25" s="16" t="s">
        <v>107</v>
      </c>
      <c r="C25" s="16" t="s">
        <v>113</v>
      </c>
      <c r="D25" s="16" t="s">
        <v>114</v>
      </c>
      <c r="E25" s="17">
        <v>1</v>
      </c>
      <c r="F25" s="16" t="s">
        <v>24</v>
      </c>
      <c r="G25" s="16" t="s">
        <v>115</v>
      </c>
      <c r="H25" s="18"/>
      <c r="I25" s="16" t="s">
        <v>116</v>
      </c>
      <c r="J25" s="19" t="s">
        <v>27</v>
      </c>
      <c r="K25" s="18" t="str">
        <f t="shared" si="0"/>
        <v/>
      </c>
      <c r="L25" s="20" t="str">
        <f>IF(H25="","",H25*Supuestos!$B$9*Supuestos!$B$4)</f>
        <v/>
      </c>
      <c r="M25" s="20" t="str">
        <f t="shared" si="1"/>
        <v/>
      </c>
      <c r="N25" s="21"/>
      <c r="O25" s="22"/>
      <c r="P25" s="21"/>
      <c r="Q25" s="22"/>
      <c r="R25" s="22"/>
      <c r="S25" s="16" t="s">
        <v>117</v>
      </c>
    </row>
    <row r="26" spans="1:19" x14ac:dyDescent="0.25">
      <c r="A26" s="14" t="s">
        <v>118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 ht="38.25" x14ac:dyDescent="0.25">
      <c r="A27" s="16">
        <v>18</v>
      </c>
      <c r="B27" s="16" t="s">
        <v>118</v>
      </c>
      <c r="C27" s="16" t="s">
        <v>119</v>
      </c>
      <c r="D27" s="16" t="s">
        <v>120</v>
      </c>
      <c r="E27" s="17">
        <v>1</v>
      </c>
      <c r="F27" s="16" t="s">
        <v>36</v>
      </c>
      <c r="G27" s="16" t="s">
        <v>121</v>
      </c>
      <c r="H27" s="18"/>
      <c r="I27" s="16" t="s">
        <v>105</v>
      </c>
      <c r="J27" s="16"/>
      <c r="K27" s="18" t="str">
        <f>IF(H27="","",H27*E27)</f>
        <v/>
      </c>
      <c r="L27" s="20" t="str">
        <f>IF(H27="","",H27*Supuestos!$B$9*Supuestos!$B$4)</f>
        <v/>
      </c>
      <c r="M27" s="20" t="str">
        <f>IF(L27="","",L27*E27)</f>
        <v/>
      </c>
      <c r="N27" s="21"/>
      <c r="O27" s="22"/>
      <c r="P27" s="21"/>
      <c r="Q27" s="22"/>
      <c r="R27" s="22"/>
      <c r="S27" s="16" t="s">
        <v>122</v>
      </c>
    </row>
    <row r="28" spans="1:19" ht="25.5" x14ac:dyDescent="0.25">
      <c r="A28" s="16">
        <v>19</v>
      </c>
      <c r="B28" s="16" t="s">
        <v>118</v>
      </c>
      <c r="C28" s="16" t="s">
        <v>123</v>
      </c>
      <c r="D28" s="16" t="s">
        <v>124</v>
      </c>
      <c r="E28" s="17">
        <v>1</v>
      </c>
      <c r="F28" s="16" t="s">
        <v>36</v>
      </c>
      <c r="G28" s="16" t="s">
        <v>125</v>
      </c>
      <c r="H28" s="18"/>
      <c r="I28" s="16" t="s">
        <v>105</v>
      </c>
      <c r="J28" s="16"/>
      <c r="K28" s="18" t="str">
        <f>IF(H28="","",H28*E28)</f>
        <v/>
      </c>
      <c r="L28" s="20" t="str">
        <f>IF(H28="","",H28*Supuestos!$B$9*Supuestos!$B$4)</f>
        <v/>
      </c>
      <c r="M28" s="20" t="str">
        <f>IF(L28="","",L28*E28)</f>
        <v/>
      </c>
      <c r="N28" s="21"/>
      <c r="O28" s="22"/>
      <c r="P28" s="21"/>
      <c r="Q28" s="22"/>
      <c r="R28" s="22"/>
      <c r="S28" s="16" t="s">
        <v>126</v>
      </c>
    </row>
    <row r="29" spans="1:1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5">
      <c r="A30" s="11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5">
      <c r="A31" s="5"/>
      <c r="B31" s="5"/>
      <c r="C31" s="9" t="s">
        <v>128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24">
        <v>2450</v>
      </c>
      <c r="O31" s="9" t="s">
        <v>129</v>
      </c>
      <c r="P31" s="24">
        <v>2600</v>
      </c>
      <c r="Q31" s="9" t="s">
        <v>130</v>
      </c>
      <c r="R31" s="9" t="s">
        <v>131</v>
      </c>
      <c r="S31" s="5"/>
    </row>
    <row r="32" spans="1:19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25">
      <c r="A33" s="5"/>
      <c r="B33" s="5"/>
      <c r="C33" s="5"/>
      <c r="D33" s="5"/>
      <c r="E33" s="5"/>
      <c r="F33" s="5"/>
      <c r="G33" s="5"/>
      <c r="H33" s="5"/>
      <c r="I33" s="5"/>
      <c r="J33" s="11" t="s">
        <v>132</v>
      </c>
      <c r="K33" s="25">
        <f>SUM(K4:K28)</f>
        <v>5363.83</v>
      </c>
      <c r="L33" s="5"/>
      <c r="M33" s="26">
        <f>SUM(M4:M28)</f>
        <v>55856.136428400008</v>
      </c>
      <c r="N33" s="26">
        <f>SUMPRODUCT(N4:N28,E4:E28)</f>
        <v>0</v>
      </c>
      <c r="O33" s="5"/>
      <c r="P33" s="26">
        <f>SUMPRODUCT(P4:P28,E4:E28)</f>
        <v>0</v>
      </c>
      <c r="Q33" s="5"/>
      <c r="R33" s="5"/>
      <c r="S33" s="5"/>
    </row>
    <row r="34" spans="1:19" x14ac:dyDescent="0.25">
      <c r="A34" s="5"/>
      <c r="B34" s="5"/>
      <c r="C34" s="5"/>
      <c r="D34" s="5"/>
      <c r="E34" s="5"/>
      <c r="F34" s="5"/>
      <c r="G34" s="5"/>
      <c r="H34" s="5"/>
      <c r="I34" s="5"/>
      <c r="J34" s="9" t="s">
        <v>133</v>
      </c>
      <c r="K34" s="9" t="s">
        <v>134</v>
      </c>
      <c r="L34" s="5"/>
      <c r="M34" s="5"/>
      <c r="N34" s="5"/>
      <c r="O34" s="5"/>
      <c r="P34" s="5"/>
      <c r="Q34" s="5"/>
      <c r="R34" s="5"/>
      <c r="S34" s="5"/>
    </row>
    <row r="35" spans="1:19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9" t="s">
        <v>135</v>
      </c>
      <c r="L35" s="5"/>
      <c r="M35" s="5"/>
      <c r="N35" s="5"/>
      <c r="O35" s="5"/>
      <c r="P35" s="5"/>
      <c r="Q35" s="5"/>
      <c r="R35" s="5"/>
      <c r="S35" s="5"/>
    </row>
  </sheetData>
  <autoFilter ref="A3:S28" xr:uid="{00000000-0009-0000-0000-000002000000}"/>
  <hyperlinks>
    <hyperlink ref="I5" r:id="rId1" xr:uid="{00000000-0004-0000-0200-000000000000}"/>
    <hyperlink ref="J5" r:id="rId2" xr:uid="{00000000-0004-0000-0200-000001000000}"/>
    <hyperlink ref="I6" r:id="rId3" xr:uid="{00000000-0004-0000-0200-000002000000}"/>
    <hyperlink ref="J6" r:id="rId4" xr:uid="{00000000-0004-0000-0200-000003000000}"/>
    <hyperlink ref="I7" r:id="rId5" xr:uid="{00000000-0004-0000-0200-000004000000}"/>
    <hyperlink ref="J7" r:id="rId6" xr:uid="{00000000-0004-0000-0200-000005000000}"/>
    <hyperlink ref="I9" r:id="rId7" xr:uid="{00000000-0004-0000-0200-000006000000}"/>
    <hyperlink ref="J9" r:id="rId8" xr:uid="{00000000-0004-0000-0200-000007000000}"/>
    <hyperlink ref="J10" r:id="rId9" xr:uid="{00000000-0004-0000-0200-000008000000}"/>
    <hyperlink ref="I11" r:id="rId10" xr:uid="{00000000-0004-0000-0200-000009000000}"/>
    <hyperlink ref="J11" r:id="rId11" xr:uid="{00000000-0004-0000-0200-00000A000000}"/>
    <hyperlink ref="I13" r:id="rId12" xr:uid="{00000000-0004-0000-0200-00000B000000}"/>
    <hyperlink ref="J13" r:id="rId13" xr:uid="{00000000-0004-0000-0200-00000C000000}"/>
    <hyperlink ref="J14" r:id="rId14" xr:uid="{00000000-0004-0000-0200-00000D000000}"/>
    <hyperlink ref="I16" r:id="rId15" xr:uid="{00000000-0004-0000-0200-00000E000000}"/>
    <hyperlink ref="J16" r:id="rId16" xr:uid="{00000000-0004-0000-0200-00000F000000}"/>
    <hyperlink ref="I17" r:id="rId17" xr:uid="{00000000-0004-0000-0200-000010000000}"/>
    <hyperlink ref="J17" r:id="rId18" xr:uid="{00000000-0004-0000-0200-000011000000}"/>
    <hyperlink ref="I18" r:id="rId19" xr:uid="{00000000-0004-0000-0200-000012000000}"/>
    <hyperlink ref="J18" r:id="rId20" xr:uid="{00000000-0004-0000-0200-000013000000}"/>
    <hyperlink ref="I20" r:id="rId21" xr:uid="{00000000-0004-0000-0200-000014000000}"/>
    <hyperlink ref="J20" r:id="rId22" xr:uid="{00000000-0004-0000-0200-000015000000}"/>
    <hyperlink ref="I21" r:id="rId23" xr:uid="{00000000-0004-0000-0200-000016000000}"/>
    <hyperlink ref="J21" r:id="rId24" xr:uid="{00000000-0004-0000-0200-000017000000}"/>
    <hyperlink ref="I22" r:id="rId25" xr:uid="{00000000-0004-0000-0200-000018000000}"/>
    <hyperlink ref="J22" r:id="rId26" xr:uid="{00000000-0004-0000-0200-000019000000}"/>
    <hyperlink ref="J23" r:id="rId27" xr:uid="{00000000-0004-0000-0200-00001A000000}"/>
    <hyperlink ref="I24" r:id="rId28" xr:uid="{00000000-0004-0000-0200-00001B000000}"/>
    <hyperlink ref="J24" r:id="rId29" xr:uid="{00000000-0004-0000-0200-00001C000000}"/>
    <hyperlink ref="J25" r:id="rId30" xr:uid="{00000000-0004-0000-0200-00001D000000}"/>
  </hyperlinks>
  <pageMargins left="0.75" right="0.75" top="1" bottom="1" header="0.5" footer="0.5"/>
  <legacy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5" x14ac:dyDescent="0.25"/>
  <cols>
    <col min="1" max="1" width="34" customWidth="1"/>
    <col min="2" max="2" width="26" customWidth="1"/>
    <col min="3" max="3" width="16" customWidth="1"/>
    <col min="4" max="4" width="24" customWidth="1"/>
    <col min="5" max="5" width="16" customWidth="1"/>
    <col min="6" max="6" width="70" customWidth="1"/>
  </cols>
  <sheetData>
    <row r="1" spans="1:6" ht="18" x14ac:dyDescent="0.25">
      <c r="A1" s="4" t="s">
        <v>165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ht="25.5" x14ac:dyDescent="0.25">
      <c r="A3" s="27" t="s">
        <v>3</v>
      </c>
      <c r="B3" s="27" t="s">
        <v>166</v>
      </c>
      <c r="C3" s="27" t="s">
        <v>167</v>
      </c>
      <c r="D3" s="27" t="s">
        <v>168</v>
      </c>
      <c r="E3" s="27" t="s">
        <v>169</v>
      </c>
      <c r="F3" s="27" t="s">
        <v>19</v>
      </c>
    </row>
    <row r="4" spans="1:6" ht="25.5" x14ac:dyDescent="0.25">
      <c r="A4" s="16" t="s">
        <v>170</v>
      </c>
      <c r="B4" s="16" t="s">
        <v>171</v>
      </c>
      <c r="C4" s="23">
        <v>309</v>
      </c>
      <c r="D4" s="19" t="s">
        <v>172</v>
      </c>
      <c r="E4" s="20">
        <f>C4*Supuestos!$B$9*Supuestos!$B$4</f>
        <v>3217.7653200000004</v>
      </c>
      <c r="F4" s="16" t="s">
        <v>173</v>
      </c>
    </row>
    <row r="5" spans="1:6" x14ac:dyDescent="0.25">
      <c r="A5" s="16" t="s">
        <v>174</v>
      </c>
      <c r="B5" s="16" t="s">
        <v>175</v>
      </c>
      <c r="C5" s="23">
        <v>334.11</v>
      </c>
      <c r="D5" s="19" t="s">
        <v>54</v>
      </c>
      <c r="E5" s="20">
        <f>C5*Supuestos!$B$9*Supuestos!$B$4</f>
        <v>3479.2478028</v>
      </c>
      <c r="F5" s="16" t="s">
        <v>176</v>
      </c>
    </row>
    <row r="6" spans="1:6" ht="25.5" x14ac:dyDescent="0.25">
      <c r="A6" s="16" t="s">
        <v>177</v>
      </c>
      <c r="B6" s="16" t="s">
        <v>178</v>
      </c>
      <c r="C6" s="23">
        <v>320</v>
      </c>
      <c r="D6" s="19" t="s">
        <v>179</v>
      </c>
      <c r="E6" s="20">
        <f>C6*Supuestos!$B$9*Supuestos!$B$4</f>
        <v>3332.3136000000004</v>
      </c>
      <c r="F6" s="16" t="s">
        <v>180</v>
      </c>
    </row>
    <row r="7" spans="1:6" ht="25.5" x14ac:dyDescent="0.25">
      <c r="A7" s="16" t="s">
        <v>181</v>
      </c>
      <c r="B7" s="16" t="s">
        <v>182</v>
      </c>
      <c r="C7" s="23">
        <v>163.77000000000001</v>
      </c>
      <c r="D7" s="19" t="s">
        <v>183</v>
      </c>
      <c r="E7" s="20">
        <f>C7*Supuestos!$B$9*Supuestos!$B$4</f>
        <v>1705.4156196000001</v>
      </c>
      <c r="F7" s="16" t="s">
        <v>184</v>
      </c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9" t="s">
        <v>185</v>
      </c>
      <c r="B9" s="5"/>
      <c r="C9" s="5"/>
      <c r="D9" s="5"/>
      <c r="E9" s="5"/>
      <c r="F9" s="5"/>
    </row>
  </sheetData>
  <hyperlinks>
    <hyperlink ref="D4" r:id="rId1" xr:uid="{00000000-0004-0000-0300-000000000000}"/>
    <hyperlink ref="D5" r:id="rId2" xr:uid="{00000000-0004-0000-0300-000001000000}"/>
    <hyperlink ref="D6" r:id="rId3" xr:uid="{00000000-0004-0000-0300-000002000000}"/>
    <hyperlink ref="D7" r:id="rId4" xr:uid="{00000000-0004-0000-03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Supuestos</vt:lpstr>
      <vt:lpstr>Fase 1</vt:lpstr>
      <vt:lpstr>Referencia 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 Castillo</cp:lastModifiedBy>
  <dcterms:created xsi:type="dcterms:W3CDTF">2026-10-23T18:25:52Z</dcterms:created>
  <dcterms:modified xsi:type="dcterms:W3CDTF">2026-10-23T18:26:03Z</dcterms:modified>
</cp:coreProperties>
</file>